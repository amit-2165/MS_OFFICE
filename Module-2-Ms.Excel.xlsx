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TE\12-Microsoft office-Omaan\"/>
    </mc:Choice>
  </mc:AlternateContent>
  <xr:revisionPtr revIDLastSave="0" documentId="13_ncr:1_{AE3D6CC2-6755-4E64-8E21-FD229B8CE324}" xr6:coauthVersionLast="47" xr6:coauthVersionMax="47" xr10:uidLastSave="{00000000-0000-0000-0000-000000000000}"/>
  <bookViews>
    <workbookView xWindow="0" yWindow="0" windowWidth="20490" windowHeight="10920" tabRatio="759" firstSheet="1" activeTab="6" xr2:uid="{1BC85062-6884-4BC5-B2B2-E757DA34D19A}"/>
  </bookViews>
  <sheets>
    <sheet name="Spreadsheet Basics" sheetId="1" r:id="rId1"/>
    <sheet name="Creating-Editing etc" sheetId="2" r:id="rId2"/>
    <sheet name="Funtion &amp; Formulas" sheetId="3" r:id="rId3"/>
    <sheet name="Color &amp; AutoFormats" sheetId="4" r:id="rId4"/>
    <sheet name="Charts &amp; Graphs" sheetId="5" r:id="rId5"/>
    <sheet name="Power function" sheetId="6" r:id="rId6"/>
    <sheet name="Vlookup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7" l="1"/>
  <c r="M9" i="7"/>
  <c r="M10" i="7"/>
  <c r="M7" i="7"/>
  <c r="M4" i="7"/>
  <c r="E4" i="7"/>
  <c r="S12" i="7"/>
  <c r="S11" i="7"/>
  <c r="S10" i="7"/>
  <c r="E9" i="7"/>
  <c r="T7" i="7"/>
  <c r="S7" i="7"/>
  <c r="T6" i="7"/>
  <c r="S6" i="7"/>
  <c r="T5" i="7"/>
  <c r="S5" i="7"/>
  <c r="T4" i="7"/>
  <c r="S4" i="7"/>
  <c r="T3" i="7"/>
  <c r="S3" i="7"/>
  <c r="J17" i="6"/>
  <c r="E16" i="6"/>
  <c r="B17" i="6"/>
  <c r="R8" i="6"/>
  <c r="I5" i="6"/>
  <c r="E6" i="6"/>
  <c r="B7" i="6"/>
  <c r="D22" i="6"/>
  <c r="A22" i="6"/>
  <c r="I20" i="6"/>
  <c r="D19" i="6"/>
  <c r="A19" i="6"/>
  <c r="Q15" i="6"/>
  <c r="Q14" i="6"/>
  <c r="R11" i="6"/>
  <c r="M10" i="6"/>
  <c r="E10" i="6"/>
  <c r="D10" i="6"/>
  <c r="B10" i="6"/>
  <c r="A10" i="6"/>
  <c r="M9" i="6"/>
  <c r="N7" i="6" s="1"/>
  <c r="I9" i="6"/>
  <c r="H9" i="6"/>
  <c r="H24" i="3"/>
  <c r="F24" i="3"/>
  <c r="C24" i="3"/>
  <c r="A24" i="3"/>
  <c r="A12" i="3"/>
</calcChain>
</file>

<file path=xl/sharedStrings.xml><?xml version="1.0" encoding="utf-8"?>
<sst xmlns="http://schemas.openxmlformats.org/spreadsheetml/2006/main" count="248" uniqueCount="164">
  <si>
    <t>Module 2: Ms.Excel</t>
  </si>
  <si>
    <t>1. Spreadsheet Basics</t>
  </si>
  <si>
    <t>Main Parts of Excel:</t>
  </si>
  <si>
    <t>A Spreadsheet is an electronic worksheet used to store, organize, and calculate data using rows and columns.</t>
  </si>
  <si>
    <r>
      <t>Workbook</t>
    </r>
    <r>
      <rPr>
        <sz val="12"/>
        <color rgb="FF0000CC"/>
        <rFont val="Aptos Narrow"/>
        <family val="2"/>
        <scheme val="minor"/>
      </rPr>
      <t xml:space="preserve"> → Excel file</t>
    </r>
  </si>
  <si>
    <r>
      <t>Worksheet</t>
    </r>
    <r>
      <rPr>
        <sz val="12"/>
        <color rgb="FF0000CC"/>
        <rFont val="Aptos Narrow"/>
        <family val="2"/>
        <scheme val="minor"/>
      </rPr>
      <t xml:space="preserve"> → Sheet inside workbook</t>
    </r>
  </si>
  <si>
    <r>
      <t>Rows</t>
    </r>
    <r>
      <rPr>
        <sz val="12"/>
        <color rgb="FF0000CC"/>
        <rFont val="Aptos Narrow"/>
        <family val="2"/>
        <scheme val="minor"/>
      </rPr>
      <t xml:space="preserve"> → Horizontal (1,2,3…)</t>
    </r>
  </si>
  <si>
    <r>
      <t>Columns</t>
    </r>
    <r>
      <rPr>
        <sz val="12"/>
        <color rgb="FF0000CC"/>
        <rFont val="Aptos Narrow"/>
        <family val="2"/>
        <scheme val="minor"/>
      </rPr>
      <t xml:space="preserve"> → Vertical (A,B,C…)</t>
    </r>
  </si>
  <si>
    <r>
      <t>Cell</t>
    </r>
    <r>
      <rPr>
        <sz val="12"/>
        <color rgb="FF0000CC"/>
        <rFont val="Aptos Narrow"/>
        <family val="2"/>
        <scheme val="minor"/>
      </rPr>
      <t xml:space="preserve"> → Intersection of row &amp; column (Example: A1)</t>
    </r>
  </si>
  <si>
    <t>Example Data</t>
  </si>
  <si>
    <t>Name</t>
  </si>
  <si>
    <t>Sales</t>
  </si>
  <si>
    <t>Profit</t>
  </si>
  <si>
    <t>Amit</t>
  </si>
  <si>
    <t>Ravi</t>
  </si>
  <si>
    <t>2. Creating, Editing, Saving &amp; Printing Spreadsheet</t>
  </si>
  <si>
    <t>Creating</t>
  </si>
  <si>
    <t>Steps:</t>
  </si>
  <si>
    <t>1. Open Excel</t>
  </si>
  <si>
    <t>3. Enter data</t>
  </si>
  <si>
    <t>Editing</t>
  </si>
  <si>
    <t>You can:</t>
  </si>
  <si>
    <t>Change cell values</t>
  </si>
  <si>
    <t>Insert/Delete rows or columns</t>
  </si>
  <si>
    <t>Copy / Paste data</t>
  </si>
  <si>
    <t>2. Click Blank Workbook</t>
  </si>
  <si>
    <t>Example</t>
  </si>
  <si>
    <r>
      <t xml:space="preserve">Change </t>
    </r>
    <r>
      <rPr>
        <b/>
        <sz val="11"/>
        <color rgb="FF0000CC"/>
        <rFont val="Aptos Narrow"/>
        <family val="2"/>
        <scheme val="minor"/>
      </rPr>
      <t>Sales value from 5000 → 6000</t>
    </r>
  </si>
  <si>
    <t>Saving</t>
  </si>
  <si>
    <r>
      <t xml:space="preserve">1. Press </t>
    </r>
    <r>
      <rPr>
        <b/>
        <sz val="11"/>
        <color theme="1"/>
        <rFont val="Aptos Narrow"/>
        <family val="2"/>
        <scheme val="minor"/>
      </rPr>
      <t>Ctrl + S</t>
    </r>
  </si>
  <si>
    <t>2. Choose location</t>
  </si>
  <si>
    <t>3. Enter file name</t>
  </si>
  <si>
    <r>
      <t xml:space="preserve">4. Click </t>
    </r>
    <r>
      <rPr>
        <b/>
        <sz val="11"/>
        <color theme="1"/>
        <rFont val="Aptos Narrow"/>
        <family val="2"/>
        <scheme val="minor"/>
      </rPr>
      <t>Save</t>
    </r>
  </si>
  <si>
    <r>
      <t xml:space="preserve">File name: </t>
    </r>
    <r>
      <rPr>
        <b/>
        <sz val="11"/>
        <color rgb="FF0000CC"/>
        <rFont val="Aptos Narrow"/>
        <family val="2"/>
        <scheme val="minor"/>
      </rPr>
      <t>Sales_Report.xlsx</t>
    </r>
  </si>
  <si>
    <t>Printing</t>
  </si>
  <si>
    <r>
      <t xml:space="preserve">1. Press </t>
    </r>
    <r>
      <rPr>
        <b/>
        <sz val="11"/>
        <color theme="1"/>
        <rFont val="Aptos Narrow"/>
        <family val="2"/>
        <scheme val="minor"/>
      </rPr>
      <t>Ctrl + P</t>
    </r>
  </si>
  <si>
    <t>2. Select printer</t>
  </si>
  <si>
    <t>3. Adjust settings</t>
  </si>
  <si>
    <r>
      <t xml:space="preserve">4. Click </t>
    </r>
    <r>
      <rPr>
        <b/>
        <sz val="11"/>
        <color theme="1"/>
        <rFont val="Aptos Narrow"/>
        <family val="2"/>
        <scheme val="minor"/>
      </rPr>
      <t>Print</t>
    </r>
  </si>
  <si>
    <t>3. Working with Functions &amp; Formulas</t>
  </si>
  <si>
    <t>Formula</t>
  </si>
  <si>
    <t>A formula is used to perform calculations.</t>
  </si>
  <si>
    <t>A</t>
  </si>
  <si>
    <t>B</t>
  </si>
  <si>
    <t>A9+B9</t>
  </si>
  <si>
    <t>Functions</t>
  </si>
  <si>
    <t>SUM</t>
  </si>
  <si>
    <t>Adds numbers</t>
  </si>
  <si>
    <t>Functions are predefined formulas.</t>
  </si>
  <si>
    <t>SUM(A22:A23)</t>
  </si>
  <si>
    <t>AVERAGE(C22:C23)</t>
  </si>
  <si>
    <t>MAX(E22:E23)</t>
  </si>
  <si>
    <t>MIN(G22:G23)</t>
  </si>
  <si>
    <t>4. Modifying Worksheets with Color &amp; AutoFormats</t>
  </si>
  <si>
    <t>Formatting improves appearance.</t>
  </si>
  <si>
    <t>Cell Color</t>
  </si>
  <si>
    <t>1. Select cells</t>
  </si>
  <si>
    <t>3. Choose color</t>
  </si>
  <si>
    <t>2. Go to Home → Fill Color</t>
  </si>
  <si>
    <t>Highlight total sales in yellow</t>
  </si>
  <si>
    <t>AutoFormat</t>
  </si>
  <si>
    <t>1. Select data</t>
  </si>
  <si>
    <t>3. Choose style</t>
  </si>
  <si>
    <r>
      <t xml:space="preserve">AutoFormat applies </t>
    </r>
    <r>
      <rPr>
        <b/>
        <sz val="14"/>
        <color rgb="FF0000CC"/>
        <rFont val="Aptos Narrow"/>
        <family val="2"/>
        <scheme val="minor"/>
      </rPr>
      <t>predefined styles to table</t>
    </r>
    <r>
      <rPr>
        <sz val="14"/>
        <color rgb="FF0000CC"/>
        <rFont val="Aptos Narrow"/>
        <family val="2"/>
        <scheme val="minor"/>
      </rPr>
      <t>.</t>
    </r>
  </si>
  <si>
    <t>2. Go to Home → Format as Table</t>
  </si>
  <si>
    <t>5. Graphically Representing Data (Charts &amp; Graphs)</t>
  </si>
  <si>
    <t>Common Charts</t>
  </si>
  <si>
    <r>
      <t xml:space="preserve">Charts help </t>
    </r>
    <r>
      <rPr>
        <b/>
        <sz val="12"/>
        <color rgb="FF0000CC"/>
        <rFont val="Aptos Narrow"/>
        <family val="2"/>
        <scheme val="minor"/>
      </rPr>
      <t>visualize data easily</t>
    </r>
    <r>
      <rPr>
        <sz val="12"/>
        <color rgb="FF0000CC"/>
        <rFont val="Aptos Narrow"/>
        <family val="2"/>
        <scheme val="minor"/>
      </rPr>
      <t>.</t>
    </r>
  </si>
  <si>
    <t>Column Chart</t>
  </si>
  <si>
    <t>Bar Chart</t>
  </si>
  <si>
    <t>Pie Chart</t>
  </si>
  <si>
    <t>Line Chart</t>
  </si>
  <si>
    <t>Month</t>
  </si>
  <si>
    <t>Jan</t>
  </si>
  <si>
    <t>Feb</t>
  </si>
  <si>
    <t>Mar</t>
  </si>
  <si>
    <t>Steps to create chart:</t>
  </si>
  <si>
    <t>Create Column Chart for Monthly Sales</t>
  </si>
  <si>
    <t>2. Go to Insert</t>
  </si>
  <si>
    <t>3. Choose Chart</t>
  </si>
  <si>
    <t>Company</t>
  </si>
  <si>
    <t>Omaan</t>
  </si>
  <si>
    <t>Tom</t>
  </si>
  <si>
    <t>Infosys</t>
  </si>
  <si>
    <t>TCS</t>
  </si>
  <si>
    <t>TM</t>
  </si>
  <si>
    <t>Sl. No.</t>
  </si>
  <si>
    <t>ID</t>
  </si>
  <si>
    <t>Order</t>
  </si>
  <si>
    <t>Region</t>
  </si>
  <si>
    <t>Country</t>
  </si>
  <si>
    <t>Computer</t>
  </si>
  <si>
    <t>AC</t>
  </si>
  <si>
    <t>Printer</t>
  </si>
  <si>
    <t>North</t>
  </si>
  <si>
    <t>West</t>
  </si>
  <si>
    <t>South</t>
  </si>
  <si>
    <t>Ind</t>
  </si>
  <si>
    <t>Sl</t>
  </si>
  <si>
    <t>Us</t>
  </si>
  <si>
    <t>Count and Sum Functions</t>
  </si>
  <si>
    <t>COUNT</t>
  </si>
  <si>
    <t>COUNTIF</t>
  </si>
  <si>
    <t>COUNTIFS</t>
  </si>
  <si>
    <t>COUNTA</t>
  </si>
  <si>
    <t>COUNTBLANK</t>
  </si>
  <si>
    <t>Result</t>
  </si>
  <si>
    <t>Product</t>
  </si>
  <si>
    <t>Qty</t>
  </si>
  <si>
    <t>$$$%%%&amp;&amp;</t>
  </si>
  <si>
    <t>Smartphone</t>
  </si>
  <si>
    <t>Laptop</t>
  </si>
  <si>
    <t>apple</t>
  </si>
  <si>
    <t>banana</t>
  </si>
  <si>
    <t>orange</t>
  </si>
  <si>
    <t>COUNTA(M3:M8)</t>
  </si>
  <si>
    <t>COUNTIFS(G4:G8,"Laptop",H4:H8,"&gt;4")</t>
  </si>
  <si>
    <t>COUNT(A4:A9)</t>
  </si>
  <si>
    <t>COUNTIF(D4:D9,"&gt;60")</t>
  </si>
  <si>
    <t>GRAPES</t>
  </si>
  <si>
    <t>SUMIF</t>
  </si>
  <si>
    <t>SUMIFS</t>
  </si>
  <si>
    <t>smartphone</t>
  </si>
  <si>
    <t>Samsung</t>
  </si>
  <si>
    <t>COUNTBLANK(Q3:Q13)</t>
  </si>
  <si>
    <t>HP</t>
  </si>
  <si>
    <t>SUM(A15:A20)</t>
  </si>
  <si>
    <t>SUMIF(D15:D18,"&gt;60")</t>
  </si>
  <si>
    <t>SUMIFS(I15:I19,G15:G19,"Smartphone",H15:H19,"Samsung")</t>
  </si>
  <si>
    <t>VLOOKUP function</t>
  </si>
  <si>
    <t>Score</t>
  </si>
  <si>
    <t>Grade</t>
  </si>
  <si>
    <t>First Name</t>
  </si>
  <si>
    <t>Last Name</t>
  </si>
  <si>
    <t>Salary</t>
  </si>
  <si>
    <t>Employee ID</t>
  </si>
  <si>
    <t>Department</t>
  </si>
  <si>
    <t>Location</t>
  </si>
  <si>
    <t>Joining Date</t>
  </si>
  <si>
    <t>F</t>
  </si>
  <si>
    <t>Ram</t>
  </si>
  <si>
    <t>Kumar</t>
  </si>
  <si>
    <t>Raj</t>
  </si>
  <si>
    <t>IT</t>
  </si>
  <si>
    <t>D</t>
  </si>
  <si>
    <t>Sumit</t>
  </si>
  <si>
    <t>Sharma</t>
  </si>
  <si>
    <t>Simran</t>
  </si>
  <si>
    <t>HR</t>
  </si>
  <si>
    <t>Pooja</t>
  </si>
  <si>
    <t>Mishra</t>
  </si>
  <si>
    <t>Finance</t>
  </si>
  <si>
    <t>Mohan</t>
  </si>
  <si>
    <t>Singh</t>
  </si>
  <si>
    <t>Neha</t>
  </si>
  <si>
    <t>C</t>
  </si>
  <si>
    <t>Diya</t>
  </si>
  <si>
    <t>Kumari</t>
  </si>
  <si>
    <t>Arjun</t>
  </si>
  <si>
    <t>Marketing</t>
  </si>
  <si>
    <t>Rohit</t>
  </si>
  <si>
    <t>Dutta</t>
  </si>
  <si>
    <t>Chetan</t>
  </si>
  <si>
    <t>Bugha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</si>
</sst>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20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0000CC"/>
      <name val="Aptos Narrow"/>
      <family val="2"/>
      <scheme val="minor"/>
    </font>
    <font>
      <b/>
      <sz val="11"/>
      <color rgb="FF0000CC"/>
      <name val="Aptos Narrow"/>
      <family val="2"/>
      <scheme val="minor"/>
    </font>
    <font>
      <b/>
      <sz val="14"/>
      <color rgb="FF0000CC"/>
      <name val="Aptos Narrow"/>
      <family val="2"/>
      <scheme val="minor"/>
    </font>
    <font>
      <b/>
      <sz val="12"/>
      <color rgb="FF0000CC"/>
      <name val="Aptos Narrow"/>
      <family val="2"/>
      <scheme val="minor"/>
    </font>
    <font>
      <sz val="12"/>
      <color rgb="FF0000CC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u/>
      <sz val="12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u/>
      <sz val="14"/>
      <color theme="1"/>
      <name val="Aptos Narrow"/>
      <family val="2"/>
      <scheme val="minor"/>
    </font>
    <font>
      <sz val="14"/>
      <color rgb="FF0000CC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rgb="FF0000CC"/>
      <name val="Segoe UI"/>
      <family val="2"/>
    </font>
    <font>
      <sz val="12"/>
      <color rgb="FF0000CC"/>
      <name val="Segoe UI"/>
      <family val="2"/>
    </font>
    <font>
      <sz val="14"/>
      <color rgb="FFFF0000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color rgb="FF0000FF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medium">
        <color indexed="64"/>
      </left>
      <right style="thin">
        <color rgb="FFFF0000"/>
      </right>
      <top/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horizontal="left" vertical="center" inden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8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/>
    <xf numFmtId="0" fontId="13" fillId="0" borderId="0" xfId="0" applyFont="1" applyAlignment="1">
      <alignment vertical="center"/>
    </xf>
    <xf numFmtId="0" fontId="8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0" fillId="2" borderId="1" xfId="0" applyFill="1" applyBorder="1"/>
    <xf numFmtId="0" fontId="0" fillId="3" borderId="1" xfId="0" applyFill="1" applyBorder="1"/>
    <xf numFmtId="0" fontId="14" fillId="0" borderId="0" xfId="0" applyFont="1"/>
    <xf numFmtId="0" fontId="0" fillId="4" borderId="1" xfId="0" applyFill="1" applyBorder="1"/>
    <xf numFmtId="0" fontId="16" fillId="0" borderId="0" xfId="0" applyFont="1"/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/>
    <xf numFmtId="0" fontId="0" fillId="0" borderId="9" xfId="0" applyBorder="1" applyAlignment="1">
      <alignment vertical="center" wrapText="1"/>
    </xf>
    <xf numFmtId="0" fontId="0" fillId="0" borderId="10" xfId="0" applyBorder="1"/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5" borderId="0" xfId="0" applyFill="1"/>
    <xf numFmtId="0" fontId="0" fillId="6" borderId="0" xfId="0" applyFill="1"/>
    <xf numFmtId="0" fontId="0" fillId="0" borderId="1" xfId="0" applyBorder="1"/>
    <xf numFmtId="0" fontId="17" fillId="7" borderId="1" xfId="0" applyFont="1" applyFill="1" applyBorder="1"/>
    <xf numFmtId="0" fontId="0" fillId="7" borderId="1" xfId="0" applyFill="1" applyBorder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6" borderId="1" xfId="0" applyFill="1" applyBorder="1" applyAlignment="1">
      <alignment horizontal="right"/>
    </xf>
    <xf numFmtId="0" fontId="0" fillId="8" borderId="1" xfId="0" applyFill="1" applyBorder="1"/>
    <xf numFmtId="0" fontId="0" fillId="9" borderId="1" xfId="0" applyFill="1" applyBorder="1"/>
    <xf numFmtId="0" fontId="0" fillId="6" borderId="1" xfId="0" applyFill="1" applyBorder="1"/>
    <xf numFmtId="0" fontId="0" fillId="10" borderId="1" xfId="0" applyFill="1" applyBorder="1"/>
    <xf numFmtId="0" fontId="22" fillId="0" borderId="0" xfId="0" applyFont="1"/>
    <xf numFmtId="0" fontId="0" fillId="11" borderId="1" xfId="0" applyFill="1" applyBorder="1"/>
    <xf numFmtId="0" fontId="23" fillId="12" borderId="0" xfId="0" applyFont="1" applyFill="1"/>
    <xf numFmtId="0" fontId="0" fillId="13" borderId="1" xfId="0" applyFill="1" applyBorder="1"/>
    <xf numFmtId="0" fontId="0" fillId="14" borderId="1" xfId="0" applyFill="1" applyBorder="1"/>
    <xf numFmtId="0" fontId="1" fillId="15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&amp; Graphs'!$B$13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'Charts &amp; Graphs'!$A$14:$A$16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'Charts &amp; Graphs'!$B$14:$B$16</c:f>
              <c:numCache>
                <c:formatCode>General</c:formatCode>
                <c:ptCount val="3"/>
                <c:pt idx="0">
                  <c:v>500</c:v>
                </c:pt>
                <c:pt idx="1">
                  <c:v>700</c:v>
                </c:pt>
                <c:pt idx="2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6-46B3-B924-59C9149FB357}"/>
            </c:ext>
          </c:extLst>
        </c:ser>
        <c:ser>
          <c:idx val="1"/>
          <c:order val="1"/>
          <c:tx>
            <c:strRef>
              <c:f>'Charts &amp; Graphs'!$C$13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'Charts &amp; Graphs'!$A$14:$A$16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'Charts &amp; Graphs'!$C$14:$C$16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66-46B3-B924-59C9149FB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9969807"/>
        <c:axId val="1549966447"/>
      </c:barChart>
      <c:catAx>
        <c:axId val="154996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966447"/>
        <c:crosses val="autoZero"/>
        <c:auto val="1"/>
        <c:lblAlgn val="ctr"/>
        <c:lblOffset val="100"/>
        <c:noMultiLvlLbl val="0"/>
      </c:catAx>
      <c:valAx>
        <c:axId val="154996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969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'Charts &amp; Graphs'!$B$13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'Charts &amp; Graphs'!$A$14:$A$16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'Charts &amp; Graphs'!$B$14:$B$16</c:f>
              <c:numCache>
                <c:formatCode>General</c:formatCode>
                <c:ptCount val="3"/>
                <c:pt idx="0">
                  <c:v>500</c:v>
                </c:pt>
                <c:pt idx="1">
                  <c:v>700</c:v>
                </c:pt>
                <c:pt idx="2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3-445D-B2DE-A0D9CFB35A47}"/>
            </c:ext>
          </c:extLst>
        </c:ser>
        <c:ser>
          <c:idx val="1"/>
          <c:order val="1"/>
          <c:tx>
            <c:strRef>
              <c:f>'Charts &amp; Graphs'!$C$13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'Charts &amp; Graphs'!$A$14:$A$16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'Charts &amp; Graphs'!$C$14:$C$16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43-445D-B2DE-A0D9CFB35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7287551"/>
        <c:axId val="2017285631"/>
      </c:barChart>
      <c:catAx>
        <c:axId val="2017287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285631"/>
        <c:crosses val="autoZero"/>
        <c:auto val="1"/>
        <c:lblAlgn val="ctr"/>
        <c:lblOffset val="100"/>
        <c:noMultiLvlLbl val="0"/>
      </c:catAx>
      <c:valAx>
        <c:axId val="2017285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28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'Charts &amp; Graphs'!$B$13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3DA-4F8B-9EAD-97B7DB2EA7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3DA-4F8B-9EAD-97B7DB2EA7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3DA-4F8B-9EAD-97B7DB2EA764}"/>
              </c:ext>
            </c:extLst>
          </c:dPt>
          <c:cat>
            <c:strRef>
              <c:f>'Charts &amp; Graphs'!$A$14:$A$16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'Charts &amp; Graphs'!$B$14:$B$16</c:f>
              <c:numCache>
                <c:formatCode>General</c:formatCode>
                <c:ptCount val="3"/>
                <c:pt idx="0">
                  <c:v>500</c:v>
                </c:pt>
                <c:pt idx="1">
                  <c:v>700</c:v>
                </c:pt>
                <c:pt idx="2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4-453C-BA04-4C68CDF6F96E}"/>
            </c:ext>
          </c:extLst>
        </c:ser>
        <c:ser>
          <c:idx val="1"/>
          <c:order val="1"/>
          <c:tx>
            <c:strRef>
              <c:f>'Charts &amp; Graphs'!$C$13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3DA-4F8B-9EAD-97B7DB2EA7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3DA-4F8B-9EAD-97B7DB2EA7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3DA-4F8B-9EAD-97B7DB2EA764}"/>
              </c:ext>
            </c:extLst>
          </c:dPt>
          <c:cat>
            <c:strRef>
              <c:f>'Charts &amp; Graphs'!$A$14:$A$16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'Charts &amp; Graphs'!$C$14:$C$16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A4-453C-BA04-4C68CDF6F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'Charts &amp; Graphs'!$B$13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'Charts &amp; Graphs'!$A$14:$A$16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'Charts &amp; Graphs'!$B$14:$B$16</c:f>
              <c:numCache>
                <c:formatCode>General</c:formatCode>
                <c:ptCount val="3"/>
                <c:pt idx="0">
                  <c:v>500</c:v>
                </c:pt>
                <c:pt idx="1">
                  <c:v>700</c:v>
                </c:pt>
                <c:pt idx="2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9D-460E-B79E-A98D777C2214}"/>
            </c:ext>
          </c:extLst>
        </c:ser>
        <c:ser>
          <c:idx val="1"/>
          <c:order val="1"/>
          <c:tx>
            <c:strRef>
              <c:f>'Charts &amp; Graphs'!$C$13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'Charts &amp; Graphs'!$A$14:$A$16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'Charts &amp; Graphs'!$C$14:$C$16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9D-460E-B79E-A98D777C2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094687"/>
        <c:axId val="1801094207"/>
      </c:lineChart>
      <c:catAx>
        <c:axId val="180109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094207"/>
        <c:crosses val="autoZero"/>
        <c:auto val="1"/>
        <c:lblAlgn val="ctr"/>
        <c:lblOffset val="100"/>
        <c:noMultiLvlLbl val="0"/>
      </c:catAx>
      <c:valAx>
        <c:axId val="180109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09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10</xdr:row>
      <xdr:rowOff>114300</xdr:rowOff>
    </xdr:from>
    <xdr:to>
      <xdr:col>8</xdr:col>
      <xdr:colOff>409575</xdr:colOff>
      <xdr:row>19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81367C-793B-A262-BE70-E2E6DD35C9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400050</xdr:colOff>
      <xdr:row>10</xdr:row>
      <xdr:rowOff>104775</xdr:rowOff>
    </xdr:from>
    <xdr:to>
      <xdr:col>14</xdr:col>
      <xdr:colOff>600075</xdr:colOff>
      <xdr:row>19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1697FE-86C4-1819-C85E-A42420482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295275</xdr:colOff>
      <xdr:row>23</xdr:row>
      <xdr:rowOff>138112</xdr:rowOff>
    </xdr:from>
    <xdr:to>
      <xdr:col>9</xdr:col>
      <xdr:colOff>419100</xdr:colOff>
      <xdr:row>33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BF8519-6A52-FBBD-9883-1FEA63008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133350</xdr:colOff>
      <xdr:row>23</xdr:row>
      <xdr:rowOff>119062</xdr:rowOff>
    </xdr:from>
    <xdr:to>
      <xdr:col>16</xdr:col>
      <xdr:colOff>447675</xdr:colOff>
      <xdr:row>34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616D19-4537-00C3-3C0D-BE81C9DC8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5-Advance%20Excel%20with%20finding%20Fraud%20&amp;%20anomalies/Advance%20Excel%20class%20sheets-1.xlsx" TargetMode="External"/><Relationship Id="rId2" Type="http://schemas.openxmlformats.org/officeDocument/2006/relationships/externalLinkPath" Target="file:///D:\ACTE\5-Advance%20Excel%20with%20finding%20Fraud%20&amp;%20anomalies\Advance%20Excel%20class%20sheets-1.xlsx" TargetMode="External"/><Relationship Id="rId1" Type="http://schemas.openxmlformats.org/officeDocument/2006/relationships/externalLinkPath" Target="/ACTE/5-Advance%20Excel%20with%20finding%20Fraud%20&amp;%20anomalies/Advance%20Excel%20class%20sheets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yllabus"/>
      <sheetName val="Basic of Excel"/>
      <sheetName val="Sheet1"/>
      <sheetName val="Sheet10"/>
      <sheetName val="Absolute and Relative cell"/>
      <sheetName val="Protect and Unprotect"/>
      <sheetName val="Working with function"/>
      <sheetName val="VLookup funtion"/>
      <sheetName val="HLOOKUP"/>
      <sheetName val="Sheet2"/>
      <sheetName val="Nested V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Employee ID</v>
          </cell>
          <cell r="B2" t="str">
            <v>Joining Date</v>
          </cell>
          <cell r="C2" t="str">
            <v>Location</v>
          </cell>
        </row>
        <row r="3">
          <cell r="A3">
            <v>101</v>
          </cell>
          <cell r="B3">
            <v>43842</v>
          </cell>
          <cell r="C3" t="str">
            <v>Mumbai</v>
          </cell>
        </row>
        <row r="4">
          <cell r="A4">
            <v>102</v>
          </cell>
          <cell r="B4">
            <v>43529</v>
          </cell>
          <cell r="C4" t="str">
            <v>Delhi</v>
          </cell>
        </row>
        <row r="5">
          <cell r="A5">
            <v>103</v>
          </cell>
          <cell r="B5">
            <v>44395</v>
          </cell>
          <cell r="C5" t="str">
            <v>Bangalore</v>
          </cell>
        </row>
        <row r="6">
          <cell r="A6">
            <v>104</v>
          </cell>
          <cell r="B6">
            <v>44096</v>
          </cell>
          <cell r="C6" t="str">
            <v>Chennai</v>
          </cell>
        </row>
        <row r="7">
          <cell r="A7">
            <v>105</v>
          </cell>
          <cell r="B7">
            <v>43414</v>
          </cell>
          <cell r="C7" t="str">
            <v>Kolkata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msung.com/in/?srsltid=AfmBOoqcWUEb0y82JjRKyDVGoqjByLqYOyDGe_0tiJL0me3BVHyVdq0c" TargetMode="External"/><Relationship Id="rId2" Type="http://schemas.openxmlformats.org/officeDocument/2006/relationships/hyperlink" Target="https://www.samsung.com/in/?srsltid=AfmBOoqcWUEb0y82JjRKyDVGoqjByLqYOyDGe_0tiJL0me3BVHyVdq0c" TargetMode="External"/><Relationship Id="rId1" Type="http://schemas.openxmlformats.org/officeDocument/2006/relationships/hyperlink" Target="https://www.samsung.com/in/?srsltid=AfmBOoqcWUEb0y82JjRKyDVGoqjByLqYOyDGe_0tiJL0me3BVHyVdq0c" TargetMode="External"/><Relationship Id="rId4" Type="http://schemas.openxmlformats.org/officeDocument/2006/relationships/hyperlink" Target="https://www.samsung.com/in/?srsltid=AfmBOoqcWUEb0y82JjRKyDVGoqjByLqYOyDGe_0tiJL0me3BVHyVdq0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0019B-8F73-427B-879A-C82576105424}">
  <sheetPr>
    <tabColor rgb="FFFFFF00"/>
  </sheetPr>
  <dimension ref="A1:J17"/>
  <sheetViews>
    <sheetView zoomScale="120" zoomScaleNormal="120" workbookViewId="0">
      <selection activeCell="L15" sqref="L15"/>
    </sheetView>
  </sheetViews>
  <sheetFormatPr defaultRowHeight="15" x14ac:dyDescent="0.25"/>
  <sheetData>
    <row r="1" spans="1:10" ht="26.25" x14ac:dyDescent="0.4">
      <c r="A1" s="2" t="s">
        <v>0</v>
      </c>
    </row>
    <row r="3" spans="1:10" ht="24" x14ac:dyDescent="0.25">
      <c r="A3" s="3" t="s">
        <v>1</v>
      </c>
    </row>
    <row r="4" spans="1:10" ht="18.75" x14ac:dyDescent="0.3">
      <c r="A4" s="6" t="s">
        <v>3</v>
      </c>
    </row>
    <row r="6" spans="1:10" ht="21" x14ac:dyDescent="0.35">
      <c r="A6" s="8" t="s">
        <v>2</v>
      </c>
    </row>
    <row r="7" spans="1:10" ht="15.75" x14ac:dyDescent="0.25">
      <c r="A7" s="7" t="s">
        <v>4</v>
      </c>
    </row>
    <row r="8" spans="1:10" ht="15.75" x14ac:dyDescent="0.25">
      <c r="A8" s="7" t="s">
        <v>5</v>
      </c>
    </row>
    <row r="9" spans="1:10" ht="15.75" x14ac:dyDescent="0.25">
      <c r="A9" s="7" t="s">
        <v>6</v>
      </c>
    </row>
    <row r="10" spans="1:10" ht="15.75" x14ac:dyDescent="0.25">
      <c r="A10" s="7" t="s">
        <v>7</v>
      </c>
    </row>
    <row r="11" spans="1:10" ht="15.75" x14ac:dyDescent="0.25">
      <c r="A11" s="7" t="s">
        <v>8</v>
      </c>
    </row>
    <row r="13" spans="1:10" ht="15.75" x14ac:dyDescent="0.25">
      <c r="A13" s="10" t="s">
        <v>9</v>
      </c>
      <c r="G13" s="46" t="s">
        <v>10</v>
      </c>
      <c r="H13" s="46" t="s">
        <v>11</v>
      </c>
      <c r="I13" s="46" t="s">
        <v>12</v>
      </c>
      <c r="J13" s="46" t="s">
        <v>80</v>
      </c>
    </row>
    <row r="14" spans="1:10" x14ac:dyDescent="0.25">
      <c r="G14" s="45" t="s">
        <v>13</v>
      </c>
      <c r="H14" s="45">
        <v>80000</v>
      </c>
      <c r="I14" s="45">
        <v>5000</v>
      </c>
      <c r="J14" s="45" t="s">
        <v>83</v>
      </c>
    </row>
    <row r="15" spans="1:10" x14ac:dyDescent="0.25">
      <c r="A15" s="14" t="s">
        <v>10</v>
      </c>
      <c r="B15" s="14" t="s">
        <v>11</v>
      </c>
      <c r="C15" s="14" t="s">
        <v>12</v>
      </c>
      <c r="G15" s="45" t="s">
        <v>81</v>
      </c>
      <c r="H15" s="45">
        <v>90000</v>
      </c>
      <c r="I15" s="45">
        <v>6000</v>
      </c>
      <c r="J15" s="45" t="s">
        <v>84</v>
      </c>
    </row>
    <row r="16" spans="1:10" x14ac:dyDescent="0.25">
      <c r="A16" s="13" t="s">
        <v>13</v>
      </c>
      <c r="B16" s="13">
        <v>5000</v>
      </c>
      <c r="C16" s="13">
        <v>800</v>
      </c>
      <c r="G16" s="45" t="s">
        <v>82</v>
      </c>
      <c r="H16" s="45">
        <v>60000</v>
      </c>
      <c r="I16" s="45">
        <v>4000</v>
      </c>
      <c r="J16" s="45" t="s">
        <v>85</v>
      </c>
    </row>
    <row r="17" spans="1:3" x14ac:dyDescent="0.25">
      <c r="A17" s="13" t="s">
        <v>14</v>
      </c>
      <c r="B17" s="13">
        <v>7000</v>
      </c>
      <c r="C17" s="13">
        <v>1200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1525F-3AFE-404C-A9E9-DDF6C8F3B64D}">
  <sheetPr>
    <tabColor rgb="FF92D050"/>
  </sheetPr>
  <dimension ref="A1:O37"/>
  <sheetViews>
    <sheetView workbookViewId="0">
      <selection activeCell="H6" sqref="H6"/>
    </sheetView>
  </sheetViews>
  <sheetFormatPr defaultRowHeight="15" x14ac:dyDescent="0.25"/>
  <sheetData>
    <row r="1" spans="1:15" ht="24" x14ac:dyDescent="0.25">
      <c r="A1" s="3" t="s">
        <v>15</v>
      </c>
      <c r="K1" s="47" t="s">
        <v>86</v>
      </c>
      <c r="L1" s="47" t="s">
        <v>87</v>
      </c>
      <c r="M1" s="47" t="s">
        <v>88</v>
      </c>
      <c r="N1" s="47" t="s">
        <v>89</v>
      </c>
      <c r="O1" s="47" t="s">
        <v>90</v>
      </c>
    </row>
    <row r="2" spans="1:15" x14ac:dyDescent="0.25">
      <c r="K2" s="45">
        <v>1</v>
      </c>
      <c r="L2" s="45">
        <v>1001</v>
      </c>
      <c r="M2" s="45" t="s">
        <v>91</v>
      </c>
      <c r="N2" s="45" t="s">
        <v>94</v>
      </c>
      <c r="O2" s="45" t="s">
        <v>97</v>
      </c>
    </row>
    <row r="3" spans="1:15" ht="15.75" x14ac:dyDescent="0.25">
      <c r="A3" s="9" t="s">
        <v>16</v>
      </c>
      <c r="K3" s="45">
        <v>2</v>
      </c>
      <c r="L3" s="45">
        <v>1002</v>
      </c>
      <c r="M3" s="45" t="s">
        <v>92</v>
      </c>
      <c r="N3" s="45" t="s">
        <v>95</v>
      </c>
      <c r="O3" s="45" t="s">
        <v>98</v>
      </c>
    </row>
    <row r="4" spans="1:15" ht="15.75" x14ac:dyDescent="0.25">
      <c r="A4" s="9"/>
      <c r="K4" s="45">
        <v>3</v>
      </c>
      <c r="L4" s="45">
        <v>1003</v>
      </c>
      <c r="M4" s="45" t="s">
        <v>93</v>
      </c>
      <c r="N4" s="45" t="s">
        <v>96</v>
      </c>
      <c r="O4" s="45" t="s">
        <v>99</v>
      </c>
    </row>
    <row r="5" spans="1:15" ht="15.75" x14ac:dyDescent="0.25">
      <c r="A5" s="15" t="s">
        <v>17</v>
      </c>
      <c r="K5" s="45"/>
      <c r="L5" s="45"/>
      <c r="M5" s="45"/>
      <c r="N5" s="45"/>
      <c r="O5" s="45"/>
    </row>
    <row r="6" spans="1:15" ht="15.75" x14ac:dyDescent="0.25">
      <c r="A6" s="7" t="s">
        <v>18</v>
      </c>
      <c r="K6" s="45"/>
      <c r="L6" s="45"/>
      <c r="M6" s="45"/>
      <c r="N6" s="45"/>
      <c r="O6" s="45"/>
    </row>
    <row r="7" spans="1:15" ht="15.75" x14ac:dyDescent="0.25">
      <c r="A7" s="7" t="s">
        <v>25</v>
      </c>
    </row>
    <row r="8" spans="1:15" ht="15.75" x14ac:dyDescent="0.25">
      <c r="A8" s="7" t="s">
        <v>19</v>
      </c>
    </row>
    <row r="10" spans="1:15" ht="24" x14ac:dyDescent="0.25">
      <c r="A10" s="3" t="s">
        <v>20</v>
      </c>
    </row>
    <row r="12" spans="1:15" ht="15.75" x14ac:dyDescent="0.25">
      <c r="A12" s="15" t="s">
        <v>21</v>
      </c>
    </row>
    <row r="13" spans="1:15" ht="15.75" x14ac:dyDescent="0.25">
      <c r="A13" s="7" t="s">
        <v>22</v>
      </c>
    </row>
    <row r="14" spans="1:15" ht="15.75" x14ac:dyDescent="0.25">
      <c r="A14" s="7" t="s">
        <v>23</v>
      </c>
    </row>
    <row r="15" spans="1:15" ht="15.75" x14ac:dyDescent="0.25">
      <c r="A15" s="7" t="s">
        <v>24</v>
      </c>
    </row>
    <row r="17" spans="1:1" ht="15.75" x14ac:dyDescent="0.25">
      <c r="A17" s="1" t="s">
        <v>26</v>
      </c>
    </row>
    <row r="18" spans="1:1" ht="15.75" x14ac:dyDescent="0.25">
      <c r="A18" s="16" t="s">
        <v>27</v>
      </c>
    </row>
    <row r="20" spans="1:1" ht="24" x14ac:dyDescent="0.25">
      <c r="A20" s="3" t="s">
        <v>28</v>
      </c>
    </row>
    <row r="22" spans="1:1" x14ac:dyDescent="0.25">
      <c r="A22" s="5" t="s">
        <v>17</v>
      </c>
    </row>
    <row r="23" spans="1:1" ht="15.75" x14ac:dyDescent="0.25">
      <c r="A23" s="7" t="s">
        <v>29</v>
      </c>
    </row>
    <row r="24" spans="1:1" ht="15.75" x14ac:dyDescent="0.25">
      <c r="A24" s="7" t="s">
        <v>30</v>
      </c>
    </row>
    <row r="25" spans="1:1" ht="15.75" x14ac:dyDescent="0.25">
      <c r="A25" s="7" t="s">
        <v>31</v>
      </c>
    </row>
    <row r="26" spans="1:1" ht="15.75" x14ac:dyDescent="0.25">
      <c r="A26" s="7" t="s">
        <v>32</v>
      </c>
    </row>
    <row r="28" spans="1:1" ht="15.75" x14ac:dyDescent="0.25">
      <c r="A28" s="1" t="s">
        <v>26</v>
      </c>
    </row>
    <row r="29" spans="1:1" ht="15.75" x14ac:dyDescent="0.25">
      <c r="A29" s="16" t="s">
        <v>33</v>
      </c>
    </row>
    <row r="31" spans="1:1" ht="24" x14ac:dyDescent="0.25">
      <c r="A31" s="3" t="s">
        <v>34</v>
      </c>
    </row>
    <row r="33" spans="1:1" x14ac:dyDescent="0.25">
      <c r="A33" t="s">
        <v>17</v>
      </c>
    </row>
    <row r="34" spans="1:1" ht="15.75" x14ac:dyDescent="0.25">
      <c r="A34" s="7" t="s">
        <v>35</v>
      </c>
    </row>
    <row r="35" spans="1:1" ht="15.75" x14ac:dyDescent="0.25">
      <c r="A35" s="7" t="s">
        <v>36</v>
      </c>
    </row>
    <row r="36" spans="1:1" ht="15.75" x14ac:dyDescent="0.25">
      <c r="A36" s="7" t="s">
        <v>37</v>
      </c>
    </row>
    <row r="37" spans="1:1" ht="15.75" x14ac:dyDescent="0.25">
      <c r="A37" s="7" t="s">
        <v>38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032B4-7A8F-4411-9707-C85E3E0A02E7}">
  <sheetPr>
    <tabColor rgb="FFFF0000"/>
  </sheetPr>
  <dimension ref="A1:I26"/>
  <sheetViews>
    <sheetView workbookViewId="0"/>
  </sheetViews>
  <sheetFormatPr defaultRowHeight="15" x14ac:dyDescent="0.25"/>
  <sheetData>
    <row r="1" spans="1:2" ht="24" x14ac:dyDescent="0.25">
      <c r="A1" s="3" t="s">
        <v>39</v>
      </c>
    </row>
    <row r="3" spans="1:2" ht="24" x14ac:dyDescent="0.25">
      <c r="A3" s="3" t="s">
        <v>40</v>
      </c>
    </row>
    <row r="5" spans="1:2" ht="15.75" x14ac:dyDescent="0.25">
      <c r="A5" s="16" t="s">
        <v>41</v>
      </c>
    </row>
    <row r="7" spans="1:2" ht="15.75" x14ac:dyDescent="0.25">
      <c r="A7" s="1" t="s">
        <v>26</v>
      </c>
    </row>
    <row r="8" spans="1:2" x14ac:dyDescent="0.25">
      <c r="A8" s="14" t="s">
        <v>42</v>
      </c>
      <c r="B8" s="14" t="s">
        <v>43</v>
      </c>
    </row>
    <row r="9" spans="1:2" x14ac:dyDescent="0.25">
      <c r="A9" s="17">
        <v>10</v>
      </c>
      <c r="B9" s="17">
        <v>20</v>
      </c>
    </row>
    <row r="11" spans="1:2" x14ac:dyDescent="0.25">
      <c r="A11" t="s">
        <v>40</v>
      </c>
    </row>
    <row r="12" spans="1:2" x14ac:dyDescent="0.25">
      <c r="A12" s="18">
        <f>A9+B9</f>
        <v>30</v>
      </c>
    </row>
    <row r="13" spans="1:2" x14ac:dyDescent="0.25">
      <c r="A13" s="21" t="s">
        <v>44</v>
      </c>
    </row>
    <row r="15" spans="1:2" ht="24" x14ac:dyDescent="0.25">
      <c r="A15" s="3" t="s">
        <v>45</v>
      </c>
    </row>
    <row r="17" spans="1:9" ht="15.75" x14ac:dyDescent="0.25">
      <c r="A17" s="20" t="s">
        <v>48</v>
      </c>
    </row>
    <row r="18" spans="1:9" ht="18" x14ac:dyDescent="0.25">
      <c r="A18" s="19" t="s">
        <v>46</v>
      </c>
    </row>
    <row r="19" spans="1:9" x14ac:dyDescent="0.25">
      <c r="A19" s="5" t="s">
        <v>47</v>
      </c>
    </row>
    <row r="20" spans="1:9" ht="18.75" x14ac:dyDescent="0.3">
      <c r="A20" s="22" t="s">
        <v>26</v>
      </c>
    </row>
    <row r="21" spans="1:9" x14ac:dyDescent="0.25">
      <c r="A21" s="5"/>
    </row>
    <row r="22" spans="1:9" x14ac:dyDescent="0.25">
      <c r="A22" s="23">
        <v>10</v>
      </c>
      <c r="C22" s="23">
        <v>10</v>
      </c>
      <c r="F22" s="23">
        <v>10</v>
      </c>
      <c r="H22" s="23">
        <v>10</v>
      </c>
    </row>
    <row r="23" spans="1:9" x14ac:dyDescent="0.25">
      <c r="A23" s="23">
        <v>20</v>
      </c>
      <c r="C23" s="23">
        <v>20</v>
      </c>
      <c r="F23" s="23">
        <v>20</v>
      </c>
      <c r="H23" s="23">
        <v>20</v>
      </c>
    </row>
    <row r="24" spans="1:9" x14ac:dyDescent="0.25">
      <c r="A24" s="24">
        <f>SUM(A22:A23)</f>
        <v>30</v>
      </c>
      <c r="C24" s="24">
        <f>AVERAGE(C22:C23)</f>
        <v>15</v>
      </c>
      <c r="F24" s="24">
        <f>MAX(F22:F23)</f>
        <v>20</v>
      </c>
      <c r="H24" s="24">
        <f>MIN(H22:H23)</f>
        <v>10</v>
      </c>
    </row>
    <row r="26" spans="1:9" x14ac:dyDescent="0.25">
      <c r="A26" s="25" t="s">
        <v>49</v>
      </c>
      <c r="B26" s="25"/>
      <c r="C26" s="25" t="s">
        <v>50</v>
      </c>
      <c r="D26" s="25"/>
      <c r="E26" s="25"/>
      <c r="F26" s="25" t="s">
        <v>51</v>
      </c>
      <c r="G26" s="25"/>
      <c r="H26" s="25" t="s">
        <v>52</v>
      </c>
      <c r="I26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AB58B-5988-4CD2-A9AF-1663C02B9363}">
  <sheetPr>
    <tabColor rgb="FF00B0F0"/>
  </sheetPr>
  <dimension ref="A1:L28"/>
  <sheetViews>
    <sheetView workbookViewId="0"/>
  </sheetViews>
  <sheetFormatPr defaultRowHeight="15" x14ac:dyDescent="0.25"/>
  <sheetData>
    <row r="1" spans="1:5" ht="24" x14ac:dyDescent="0.25">
      <c r="A1" s="3" t="s">
        <v>53</v>
      </c>
    </row>
    <row r="3" spans="1:5" ht="15.75" x14ac:dyDescent="0.25">
      <c r="A3" s="20" t="s">
        <v>54</v>
      </c>
    </row>
    <row r="5" spans="1:5" ht="24" x14ac:dyDescent="0.25">
      <c r="A5" s="3" t="s">
        <v>55</v>
      </c>
    </row>
    <row r="7" spans="1:5" x14ac:dyDescent="0.25">
      <c r="A7" s="5" t="s">
        <v>17</v>
      </c>
    </row>
    <row r="8" spans="1:5" ht="15.75" x14ac:dyDescent="0.25">
      <c r="A8" s="7" t="s">
        <v>56</v>
      </c>
    </row>
    <row r="9" spans="1:5" ht="15.75" x14ac:dyDescent="0.25">
      <c r="A9" s="7" t="s">
        <v>58</v>
      </c>
      <c r="D9" s="23"/>
      <c r="E9" s="26"/>
    </row>
    <row r="10" spans="1:5" ht="15.75" x14ac:dyDescent="0.25">
      <c r="A10" s="7" t="s">
        <v>57</v>
      </c>
      <c r="D10" s="24"/>
      <c r="E10" s="26"/>
    </row>
    <row r="12" spans="1:5" ht="15.75" x14ac:dyDescent="0.25">
      <c r="A12" s="1" t="s">
        <v>26</v>
      </c>
    </row>
    <row r="13" spans="1:5" ht="15.75" x14ac:dyDescent="0.25">
      <c r="A13" s="20" t="s">
        <v>59</v>
      </c>
    </row>
    <row r="16" spans="1:5" ht="24" x14ac:dyDescent="0.25">
      <c r="A16" s="3" t="s">
        <v>60</v>
      </c>
    </row>
    <row r="18" spans="1:12" ht="18.75" x14ac:dyDescent="0.3">
      <c r="A18" s="27" t="s">
        <v>63</v>
      </c>
    </row>
    <row r="20" spans="1:12" x14ac:dyDescent="0.25">
      <c r="A20" s="5" t="s">
        <v>17</v>
      </c>
    </row>
    <row r="21" spans="1:12" ht="15.75" x14ac:dyDescent="0.25">
      <c r="A21" s="7" t="s">
        <v>61</v>
      </c>
    </row>
    <row r="22" spans="1:12" ht="15.75" x14ac:dyDescent="0.25">
      <c r="A22" s="7" t="s">
        <v>64</v>
      </c>
    </row>
    <row r="23" spans="1:12" ht="15.75" x14ac:dyDescent="0.25">
      <c r="A23" s="7" t="s">
        <v>62</v>
      </c>
    </row>
    <row r="25" spans="1:12" ht="15.75" thickBot="1" x14ac:dyDescent="0.3">
      <c r="A25" t="s">
        <v>26</v>
      </c>
      <c r="K25" s="35"/>
      <c r="L25" s="35"/>
    </row>
    <row r="26" spans="1:12" x14ac:dyDescent="0.25">
      <c r="A26" s="12" t="s">
        <v>10</v>
      </c>
      <c r="B26" s="12" t="s">
        <v>11</v>
      </c>
      <c r="E26" s="13" t="s">
        <v>10</v>
      </c>
      <c r="F26" s="13" t="s">
        <v>11</v>
      </c>
      <c r="H26" s="29" t="s">
        <v>10</v>
      </c>
      <c r="I26" s="30" t="s">
        <v>11</v>
      </c>
      <c r="J26" s="37"/>
      <c r="K26" s="39" t="s">
        <v>10</v>
      </c>
      <c r="L26" s="38" t="s">
        <v>11</v>
      </c>
    </row>
    <row r="27" spans="1:12" x14ac:dyDescent="0.25">
      <c r="A27" s="11" t="s">
        <v>13</v>
      </c>
      <c r="B27" s="11">
        <v>5000</v>
      </c>
      <c r="E27" s="28" t="s">
        <v>13</v>
      </c>
      <c r="F27" s="28">
        <v>5000</v>
      </c>
      <c r="H27" s="31" t="s">
        <v>13</v>
      </c>
      <c r="I27" s="32">
        <v>5000</v>
      </c>
      <c r="J27" s="37"/>
      <c r="K27" s="41" t="s">
        <v>13</v>
      </c>
      <c r="L27" s="41">
        <v>5000</v>
      </c>
    </row>
    <row r="28" spans="1:12" ht="15.75" thickBot="1" x14ac:dyDescent="0.3">
      <c r="A28" s="11" t="s">
        <v>14</v>
      </c>
      <c r="B28" s="11">
        <v>6000</v>
      </c>
      <c r="E28" s="28" t="s">
        <v>14</v>
      </c>
      <c r="F28" s="28">
        <v>6000</v>
      </c>
      <c r="H28" s="33" t="s">
        <v>14</v>
      </c>
      <c r="I28" s="34">
        <v>6000</v>
      </c>
      <c r="J28" s="37"/>
      <c r="K28" s="40" t="s">
        <v>14</v>
      </c>
      <c r="L28" s="36">
        <v>6000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91EF-F830-4354-8B87-A0D888F6A515}">
  <sheetPr>
    <tabColor rgb="FF7030A0"/>
  </sheetPr>
  <dimension ref="A1:S36"/>
  <sheetViews>
    <sheetView workbookViewId="0">
      <selection activeCell="O3" sqref="O3"/>
    </sheetView>
  </sheetViews>
  <sheetFormatPr defaultRowHeight="15" x14ac:dyDescent="0.25"/>
  <sheetData>
    <row r="1" spans="1:19" ht="24" x14ac:dyDescent="0.25">
      <c r="A1" s="3" t="s">
        <v>65</v>
      </c>
    </row>
    <row r="3" spans="1:19" ht="15.75" x14ac:dyDescent="0.25">
      <c r="A3" s="15" t="s">
        <v>67</v>
      </c>
    </row>
    <row r="4" spans="1:19" ht="15.75" x14ac:dyDescent="0.25">
      <c r="A4" s="15"/>
    </row>
    <row r="5" spans="1:19" ht="15.75" x14ac:dyDescent="0.25">
      <c r="A5" s="15" t="s">
        <v>66</v>
      </c>
    </row>
    <row r="7" spans="1:19" ht="15.75" x14ac:dyDescent="0.25">
      <c r="A7" s="20" t="s">
        <v>68</v>
      </c>
    </row>
    <row r="8" spans="1:19" ht="15.75" x14ac:dyDescent="0.25">
      <c r="A8" s="20" t="s">
        <v>69</v>
      </c>
    </row>
    <row r="9" spans="1:19" ht="15.75" x14ac:dyDescent="0.25">
      <c r="A9" s="20" t="s">
        <v>70</v>
      </c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</row>
    <row r="10" spans="1:19" ht="15.75" x14ac:dyDescent="0.25">
      <c r="A10" s="20" t="s">
        <v>71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</row>
    <row r="11" spans="1:19" x14ac:dyDescent="0.25"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</row>
    <row r="12" spans="1:19" ht="15.75" x14ac:dyDescent="0.25">
      <c r="A12" s="1" t="s">
        <v>9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</row>
    <row r="13" spans="1:19" x14ac:dyDescent="0.25">
      <c r="A13" s="13" t="s">
        <v>72</v>
      </c>
      <c r="B13" s="13" t="s">
        <v>11</v>
      </c>
      <c r="C13" s="42" t="s">
        <v>12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</row>
    <row r="14" spans="1:19" x14ac:dyDescent="0.25">
      <c r="A14" s="17" t="s">
        <v>73</v>
      </c>
      <c r="B14" s="17">
        <v>500</v>
      </c>
      <c r="C14" s="42">
        <v>100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</row>
    <row r="15" spans="1:19" x14ac:dyDescent="0.25">
      <c r="A15" s="17" t="s">
        <v>74</v>
      </c>
      <c r="B15" s="17">
        <v>700</v>
      </c>
      <c r="C15" s="42">
        <v>200</v>
      </c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</row>
    <row r="16" spans="1:19" x14ac:dyDescent="0.25">
      <c r="A16" s="17" t="s">
        <v>75</v>
      </c>
      <c r="B16" s="17">
        <v>900</v>
      </c>
      <c r="C16" s="42">
        <v>450</v>
      </c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</row>
    <row r="17" spans="1:19" x14ac:dyDescent="0.25"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</row>
    <row r="18" spans="1:19" x14ac:dyDescent="0.25">
      <c r="A18" t="s">
        <v>76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</row>
    <row r="19" spans="1:19" x14ac:dyDescent="0.25">
      <c r="A19" s="4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1:19" ht="15.75" x14ac:dyDescent="0.25">
      <c r="A20" s="7" t="s">
        <v>61</v>
      </c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</row>
    <row r="21" spans="1:19" ht="15.75" x14ac:dyDescent="0.25">
      <c r="A21" s="7" t="s">
        <v>78</v>
      </c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</row>
    <row r="22" spans="1:19" ht="15.75" x14ac:dyDescent="0.25">
      <c r="A22" s="7" t="s">
        <v>79</v>
      </c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</row>
    <row r="23" spans="1:19" x14ac:dyDescent="0.25"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</row>
    <row r="24" spans="1:19" ht="15.75" x14ac:dyDescent="0.25">
      <c r="A24" s="1" t="s">
        <v>26</v>
      </c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</row>
    <row r="25" spans="1:19" ht="15.75" x14ac:dyDescent="0.25">
      <c r="A25" s="20" t="s">
        <v>77</v>
      </c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</row>
    <row r="26" spans="1:19" x14ac:dyDescent="0.25"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</row>
    <row r="27" spans="1:19" x14ac:dyDescent="0.25"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</row>
    <row r="28" spans="1:19" x14ac:dyDescent="0.25"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</row>
    <row r="29" spans="1:19" x14ac:dyDescent="0.25"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</row>
    <row r="30" spans="1:19" x14ac:dyDescent="0.25"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</row>
    <row r="31" spans="1:19" x14ac:dyDescent="0.25"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</row>
    <row r="32" spans="1:19" x14ac:dyDescent="0.25"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</row>
    <row r="33" spans="5:19" x14ac:dyDescent="0.25"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</row>
    <row r="34" spans="5:19" x14ac:dyDescent="0.25"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</row>
    <row r="35" spans="5:19" x14ac:dyDescent="0.25"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</row>
    <row r="36" spans="5:19" x14ac:dyDescent="0.25"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CA223-3AD2-441F-A5CB-74799E4E238A}">
  <sheetPr>
    <tabColor rgb="FF00B050"/>
  </sheetPr>
  <dimension ref="A1:R22"/>
  <sheetViews>
    <sheetView topLeftCell="A11" zoomScale="140" zoomScaleNormal="140" workbookViewId="0">
      <selection activeCell="L18" sqref="L18"/>
    </sheetView>
  </sheetViews>
  <sheetFormatPr defaultRowHeight="15" x14ac:dyDescent="0.25"/>
  <cols>
    <col min="4" max="4" width="10.5703125" bestFit="1" customWidth="1"/>
    <col min="7" max="7" width="11.85546875" bestFit="1" customWidth="1"/>
    <col min="13" max="13" width="11.7109375" customWidth="1"/>
    <col min="14" max="14" width="11.7109375" bestFit="1" customWidth="1"/>
    <col min="15" max="15" width="9.28515625" bestFit="1" customWidth="1"/>
  </cols>
  <sheetData>
    <row r="1" spans="1:18" ht="17.25" x14ac:dyDescent="0.3">
      <c r="A1" s="48" t="s">
        <v>100</v>
      </c>
    </row>
    <row r="2" spans="1:18" ht="18.75" x14ac:dyDescent="0.3">
      <c r="A2" s="49" t="s">
        <v>101</v>
      </c>
      <c r="D2" s="49" t="s">
        <v>102</v>
      </c>
      <c r="G2" s="49" t="s">
        <v>103</v>
      </c>
      <c r="I2" s="50"/>
      <c r="M2" s="49" t="s">
        <v>104</v>
      </c>
      <c r="Q2" s="51" t="s">
        <v>105</v>
      </c>
    </row>
    <row r="3" spans="1:18" x14ac:dyDescent="0.25">
      <c r="A3" s="23" t="s">
        <v>106</v>
      </c>
      <c r="D3" s="23" t="s">
        <v>106</v>
      </c>
      <c r="G3" s="23" t="s">
        <v>107</v>
      </c>
      <c r="H3" s="23" t="s">
        <v>108</v>
      </c>
      <c r="M3" s="52" t="s">
        <v>109</v>
      </c>
      <c r="Q3" s="52">
        <v>45</v>
      </c>
    </row>
    <row r="4" spans="1:18" x14ac:dyDescent="0.25">
      <c r="A4" s="53">
        <v>50</v>
      </c>
      <c r="D4" s="54">
        <v>50</v>
      </c>
      <c r="G4" s="55" t="s">
        <v>110</v>
      </c>
      <c r="H4" s="55">
        <v>5</v>
      </c>
      <c r="M4" s="52">
        <v>60</v>
      </c>
      <c r="Q4" s="52">
        <v>60</v>
      </c>
    </row>
    <row r="5" spans="1:18" x14ac:dyDescent="0.25">
      <c r="A5" s="53" t="s">
        <v>13</v>
      </c>
      <c r="D5" s="54">
        <v>60</v>
      </c>
      <c r="G5" s="58" t="s">
        <v>111</v>
      </c>
      <c r="H5" s="58">
        <v>6</v>
      </c>
      <c r="I5">
        <f>COUNTIFS(G4:G8,"laptop",H4:H8,"&gt;4")</f>
        <v>2</v>
      </c>
      <c r="M5" s="52"/>
      <c r="Q5" s="52" t="s">
        <v>112</v>
      </c>
    </row>
    <row r="6" spans="1:18" x14ac:dyDescent="0.25">
      <c r="A6" s="53">
        <v>80</v>
      </c>
      <c r="D6" s="54">
        <v>80</v>
      </c>
      <c r="E6">
        <f>COUNTIF(D4:D9,"&gt;50")</f>
        <v>5</v>
      </c>
      <c r="G6" s="55" t="s">
        <v>110</v>
      </c>
      <c r="H6" s="55">
        <v>4</v>
      </c>
      <c r="M6" s="52" t="s">
        <v>113</v>
      </c>
      <c r="Q6" s="52" t="s">
        <v>113</v>
      </c>
    </row>
    <row r="7" spans="1:18" x14ac:dyDescent="0.25">
      <c r="A7" s="53">
        <v>90</v>
      </c>
      <c r="B7">
        <f>COUNT(A4:A9)</f>
        <v>5</v>
      </c>
      <c r="D7" s="54">
        <v>90</v>
      </c>
      <c r="G7" s="58" t="s">
        <v>111</v>
      </c>
      <c r="H7" s="58">
        <v>5</v>
      </c>
      <c r="M7" s="52"/>
      <c r="N7">
        <f>COUNTA(M3:M9)</f>
        <v>5</v>
      </c>
      <c r="Q7" s="52">
        <v>100</v>
      </c>
    </row>
    <row r="8" spans="1:18" x14ac:dyDescent="0.25">
      <c r="A8" s="53">
        <v>70</v>
      </c>
      <c r="D8" s="54">
        <v>70</v>
      </c>
      <c r="G8" s="55" t="s">
        <v>110</v>
      </c>
      <c r="H8" s="55">
        <v>1</v>
      </c>
      <c r="M8" s="52" t="s">
        <v>114</v>
      </c>
      <c r="Q8" s="52" t="s">
        <v>114</v>
      </c>
      <c r="R8">
        <f>COUNTBLANK(Q3:Q13)</f>
        <v>2</v>
      </c>
    </row>
    <row r="9" spans="1:18" ht="18.75" x14ac:dyDescent="0.3">
      <c r="A9" s="53">
        <v>90</v>
      </c>
      <c r="D9" s="54">
        <v>90</v>
      </c>
      <c r="G9" s="56"/>
      <c r="H9" s="56">
        <f>COUNTIFS(G4:G8,"Laptop",H4:H8,"&gt;4")</f>
        <v>2</v>
      </c>
      <c r="I9">
        <f>COUNTIFS(G4:G8,"smartphone",H4:H8,"&gt;4")</f>
        <v>1</v>
      </c>
      <c r="M9" s="26">
        <f>COUNTA(M3:M8)</f>
        <v>4</v>
      </c>
      <c r="N9" s="50" t="s">
        <v>115</v>
      </c>
      <c r="Q9" s="52"/>
    </row>
    <row r="10" spans="1:18" ht="18.75" x14ac:dyDescent="0.3">
      <c r="A10" s="56">
        <f>COUNT(A4:A9)</f>
        <v>5</v>
      </c>
      <c r="B10">
        <f>COUNT(A4:A9)</f>
        <v>5</v>
      </c>
      <c r="D10" s="56">
        <f>COUNTIF(D4:D9,"&gt;60")</f>
        <v>4</v>
      </c>
      <c r="E10">
        <f>COUNTIF(D4:D9,"&gt;70")</f>
        <v>3</v>
      </c>
      <c r="G10" s="50" t="s">
        <v>116</v>
      </c>
      <c r="M10" s="23">
        <f>COUNT(M3:M8)</f>
        <v>1</v>
      </c>
      <c r="N10" s="50" t="s">
        <v>117</v>
      </c>
      <c r="Q10" s="52">
        <v>75</v>
      </c>
    </row>
    <row r="11" spans="1:18" ht="18.75" x14ac:dyDescent="0.3">
      <c r="A11" s="50" t="s">
        <v>117</v>
      </c>
      <c r="D11" s="50" t="s">
        <v>118</v>
      </c>
      <c r="Q11" s="52" t="s">
        <v>119</v>
      </c>
      <c r="R11">
        <f>COUNTBLANK(Q3:Q13)</f>
        <v>2</v>
      </c>
    </row>
    <row r="12" spans="1:18" x14ac:dyDescent="0.25">
      <c r="Q12" s="52"/>
    </row>
    <row r="13" spans="1:18" ht="17.25" x14ac:dyDescent="0.3">
      <c r="A13" s="49" t="s">
        <v>46</v>
      </c>
      <c r="D13" s="49" t="s">
        <v>120</v>
      </c>
      <c r="G13" s="49" t="s">
        <v>121</v>
      </c>
      <c r="Q13" s="52">
        <v>200</v>
      </c>
    </row>
    <row r="14" spans="1:18" ht="18.75" x14ac:dyDescent="0.3">
      <c r="A14" s="23" t="s">
        <v>106</v>
      </c>
      <c r="D14" s="23" t="s">
        <v>106</v>
      </c>
      <c r="G14" s="23" t="s">
        <v>107</v>
      </c>
      <c r="H14" s="23" t="s">
        <v>80</v>
      </c>
      <c r="I14" s="23" t="s">
        <v>108</v>
      </c>
      <c r="K14" s="55" t="s">
        <v>122</v>
      </c>
      <c r="L14" s="55" t="s">
        <v>123</v>
      </c>
      <c r="Q14" s="26">
        <f>COUNTBLANK(Q3:Q13)</f>
        <v>2</v>
      </c>
      <c r="R14" s="50" t="s">
        <v>124</v>
      </c>
    </row>
    <row r="15" spans="1:18" x14ac:dyDescent="0.25">
      <c r="A15" s="53">
        <v>50</v>
      </c>
      <c r="D15" s="53">
        <v>50</v>
      </c>
      <c r="G15" s="55" t="s">
        <v>110</v>
      </c>
      <c r="H15" s="55" t="s">
        <v>123</v>
      </c>
      <c r="I15" s="55">
        <v>5</v>
      </c>
      <c r="Q15">
        <f>COUNTA(Q3:Q13)</f>
        <v>9</v>
      </c>
    </row>
    <row r="16" spans="1:18" x14ac:dyDescent="0.25">
      <c r="A16" s="53">
        <v>60</v>
      </c>
      <c r="D16" s="53">
        <v>60</v>
      </c>
      <c r="E16">
        <f>SUMIF(D15:D18,"&gt;60")</f>
        <v>160</v>
      </c>
      <c r="G16" s="58" t="s">
        <v>111</v>
      </c>
      <c r="H16" s="58" t="s">
        <v>125</v>
      </c>
      <c r="I16" s="58">
        <v>6</v>
      </c>
    </row>
    <row r="17" spans="1:10" x14ac:dyDescent="0.25">
      <c r="A17" s="53">
        <v>70</v>
      </c>
      <c r="B17">
        <f>SUM(A15:A18)</f>
        <v>270</v>
      </c>
      <c r="D17" s="53">
        <v>70</v>
      </c>
      <c r="G17" s="55" t="s">
        <v>110</v>
      </c>
      <c r="H17" s="55" t="s">
        <v>125</v>
      </c>
      <c r="I17" s="55">
        <v>4</v>
      </c>
      <c r="J17">
        <f>SUMIFS(I15:I19,G15:G19,"laptop",H15:H19,"HP")</f>
        <v>8</v>
      </c>
    </row>
    <row r="18" spans="1:10" x14ac:dyDescent="0.25">
      <c r="A18" s="53">
        <v>90</v>
      </c>
      <c r="D18" s="53">
        <v>90</v>
      </c>
      <c r="G18" s="58" t="s">
        <v>111</v>
      </c>
      <c r="H18" s="58" t="s">
        <v>125</v>
      </c>
      <c r="I18" s="58">
        <v>2</v>
      </c>
    </row>
    <row r="19" spans="1:10" x14ac:dyDescent="0.25">
      <c r="A19" s="56">
        <f>SUM(A15:A18)</f>
        <v>270</v>
      </c>
      <c r="D19" s="56">
        <f>SUMIF(D15:D18,"&gt;60")</f>
        <v>160</v>
      </c>
      <c r="G19" s="55" t="s">
        <v>110</v>
      </c>
      <c r="H19" s="55" t="s">
        <v>123</v>
      </c>
      <c r="I19" s="55">
        <v>5</v>
      </c>
    </row>
    <row r="20" spans="1:10" ht="18.75" x14ac:dyDescent="0.3">
      <c r="A20" s="50" t="s">
        <v>126</v>
      </c>
      <c r="D20" s="57" t="s">
        <v>127</v>
      </c>
      <c r="G20" s="56"/>
      <c r="H20" s="56"/>
      <c r="I20" s="56">
        <f>SUMIFS(I15:I19,G15:G19,"Smartphone",H15:H19,"Samsung")</f>
        <v>10</v>
      </c>
    </row>
    <row r="22" spans="1:10" ht="18.75" x14ac:dyDescent="0.3">
      <c r="A22">
        <f>SUM(A15:A18)</f>
        <v>270</v>
      </c>
      <c r="D22">
        <f>SUMIF(D15:D18,"&gt;60")</f>
        <v>160</v>
      </c>
      <c r="G22" s="50" t="s">
        <v>128</v>
      </c>
    </row>
  </sheetData>
  <hyperlinks>
    <hyperlink ref="H15" r:id="rId1" display="https://www.samsung.com/in/?srsltid=AfmBOoqcWUEb0y82JjRKyDVGoqjByLqYOyDGe_0tiJL0me3BVHyVdq0c" xr:uid="{FEB6F579-5D04-4D23-998A-EAF5241E63CD}"/>
    <hyperlink ref="H18" r:id="rId2" display="https://www.samsung.com/in/?srsltid=AfmBOoqcWUEb0y82JjRKyDVGoqjByLqYOyDGe_0tiJL0me3BVHyVdq0c" xr:uid="{7460C0BF-AF94-41DF-9451-EF82BD703BA7}"/>
    <hyperlink ref="L14" r:id="rId3" display="https://www.samsung.com/in/?srsltid=AfmBOoqcWUEb0y82JjRKyDVGoqjByLqYOyDGe_0tiJL0me3BVHyVdq0c" xr:uid="{A2308163-6C75-461C-A329-E07576CBC1E4}"/>
    <hyperlink ref="H19" r:id="rId4" display="https://www.samsung.com/in/?srsltid=AfmBOoqcWUEb0y82JjRKyDVGoqjByLqYOyDGe_0tiJL0me3BVHyVdq0c" xr:uid="{F93CBC7E-8FB6-4D09-9063-87F34CD5CFB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C3938-4BFB-4562-886D-DECADA9BA8D4}">
  <sheetPr>
    <tabColor rgb="FFFFC000"/>
  </sheetPr>
  <dimension ref="A1:T12"/>
  <sheetViews>
    <sheetView tabSelected="1" topLeftCell="F1" zoomScale="140" zoomScaleNormal="140" workbookViewId="0">
      <selection activeCell="J12" sqref="J12"/>
    </sheetView>
  </sheetViews>
  <sheetFormatPr defaultRowHeight="15" x14ac:dyDescent="0.25"/>
  <cols>
    <col min="7" max="7" width="8.28515625" customWidth="1"/>
    <col min="8" max="8" width="11.7109375" customWidth="1"/>
    <col min="9" max="9" width="11.42578125" customWidth="1"/>
    <col min="10" max="10" width="7.85546875" customWidth="1"/>
    <col min="12" max="12" width="10.5703125" bestFit="1" customWidth="1"/>
    <col min="13" max="13" width="10.28515625" bestFit="1" customWidth="1"/>
    <col min="15" max="15" width="12.42578125" bestFit="1" customWidth="1"/>
    <col min="16" max="16" width="7.28515625" bestFit="1" customWidth="1"/>
    <col min="17" max="17" width="11.85546875" bestFit="1" customWidth="1"/>
    <col min="18" max="18" width="6.42578125" bestFit="1" customWidth="1"/>
    <col min="19" max="19" width="10" bestFit="1" customWidth="1"/>
    <col min="20" max="20" width="12" bestFit="1" customWidth="1"/>
  </cols>
  <sheetData>
    <row r="1" spans="1:20" ht="21" x14ac:dyDescent="0.35">
      <c r="A1" s="59" t="s">
        <v>129</v>
      </c>
    </row>
    <row r="2" spans="1:20" x14ac:dyDescent="0.25">
      <c r="A2" s="60" t="s">
        <v>130</v>
      </c>
      <c r="B2" s="60" t="s">
        <v>131</v>
      </c>
      <c r="G2" s="61" t="s">
        <v>87</v>
      </c>
      <c r="H2" s="61" t="s">
        <v>132</v>
      </c>
      <c r="I2" s="61" t="s">
        <v>133</v>
      </c>
      <c r="J2" s="61" t="s">
        <v>134</v>
      </c>
      <c r="O2" s="62" t="s">
        <v>135</v>
      </c>
      <c r="P2" s="62" t="s">
        <v>10</v>
      </c>
      <c r="Q2" s="62" t="s">
        <v>136</v>
      </c>
      <c r="R2" s="62" t="s">
        <v>134</v>
      </c>
      <c r="S2" s="63" t="s">
        <v>137</v>
      </c>
      <c r="T2" s="62" t="s">
        <v>138</v>
      </c>
    </row>
    <row r="3" spans="1:20" x14ac:dyDescent="0.25">
      <c r="A3" s="45">
        <v>30</v>
      </c>
      <c r="B3" s="45" t="s">
        <v>139</v>
      </c>
      <c r="D3" s="60" t="s">
        <v>130</v>
      </c>
      <c r="E3" s="64">
        <v>70</v>
      </c>
      <c r="G3" s="45">
        <v>1</v>
      </c>
      <c r="H3" s="45" t="s">
        <v>140</v>
      </c>
      <c r="I3" s="45" t="s">
        <v>141</v>
      </c>
      <c r="J3" s="45">
        <v>30000</v>
      </c>
      <c r="L3" s="61" t="s">
        <v>132</v>
      </c>
      <c r="M3" s="45" t="s">
        <v>162</v>
      </c>
      <c r="O3" s="65">
        <v>101</v>
      </c>
      <c r="P3" s="65" t="s">
        <v>142</v>
      </c>
      <c r="Q3" s="65" t="s">
        <v>143</v>
      </c>
      <c r="R3" s="65">
        <v>60000</v>
      </c>
      <c r="S3" s="45" t="str">
        <f>VLOOKUP(O3,[1]HLOOKUP!A2:C7,3,0)</f>
        <v>Mumbai</v>
      </c>
      <c r="T3" s="66">
        <f>VLOOKUP(O3,[1]HLOOKUP!A2:C7,2,0)</f>
        <v>43842</v>
      </c>
    </row>
    <row r="4" spans="1:20" x14ac:dyDescent="0.25">
      <c r="A4" s="45">
        <v>60</v>
      </c>
      <c r="B4" s="45" t="s">
        <v>144</v>
      </c>
      <c r="D4" s="60" t="s">
        <v>131</v>
      </c>
      <c r="E4" s="64" t="str">
        <f>VLOOKUP(E3,A2:B7,2,FALSE)</f>
        <v>C</v>
      </c>
      <c r="G4" s="45">
        <v>2</v>
      </c>
      <c r="H4" s="45" t="s">
        <v>145</v>
      </c>
      <c r="I4" s="45" t="s">
        <v>146</v>
      </c>
      <c r="J4" s="45">
        <v>40000</v>
      </c>
      <c r="L4" s="61" t="s">
        <v>134</v>
      </c>
      <c r="M4" s="61">
        <f>VLOOKUP(M3,H2:J9,3,FALSE)</f>
        <v>60000</v>
      </c>
      <c r="O4" s="65">
        <v>102</v>
      </c>
      <c r="P4" s="65" t="s">
        <v>147</v>
      </c>
      <c r="Q4" s="65" t="s">
        <v>148</v>
      </c>
      <c r="R4" s="65">
        <v>55000</v>
      </c>
      <c r="S4" s="45" t="str">
        <f>VLOOKUP(O4,[1]HLOOKUP!A3:C8,3,0)</f>
        <v>Delhi</v>
      </c>
      <c r="T4" s="66">
        <f>VLOOKUP(O4,[1]HLOOKUP!A3:C8,2,0)</f>
        <v>43529</v>
      </c>
    </row>
    <row r="5" spans="1:20" x14ac:dyDescent="0.25">
      <c r="A5" s="45">
        <v>85</v>
      </c>
      <c r="B5" s="45" t="s">
        <v>43</v>
      </c>
      <c r="G5" s="45">
        <v>3</v>
      </c>
      <c r="H5" s="45" t="s">
        <v>149</v>
      </c>
      <c r="I5" s="45" t="s">
        <v>150</v>
      </c>
      <c r="J5" s="45">
        <v>50000</v>
      </c>
      <c r="O5" s="65">
        <v>103</v>
      </c>
      <c r="P5" s="65" t="s">
        <v>13</v>
      </c>
      <c r="Q5" s="65" t="s">
        <v>151</v>
      </c>
      <c r="R5" s="65">
        <v>70000</v>
      </c>
      <c r="S5" s="45" t="str">
        <f>VLOOKUP(O5,[1]HLOOKUP!A4:C9,3,0)</f>
        <v>Bangalore</v>
      </c>
      <c r="T5" s="66">
        <f>VLOOKUP(O5,[1]HLOOKUP!A4:C9,2,0)</f>
        <v>44395</v>
      </c>
    </row>
    <row r="6" spans="1:20" x14ac:dyDescent="0.25">
      <c r="A6" s="45">
        <v>88</v>
      </c>
      <c r="B6" s="45" t="s">
        <v>42</v>
      </c>
      <c r="G6" s="45">
        <v>4</v>
      </c>
      <c r="H6" s="45" t="s">
        <v>152</v>
      </c>
      <c r="I6" s="45" t="s">
        <v>153</v>
      </c>
      <c r="J6" s="45">
        <v>80000</v>
      </c>
      <c r="L6" s="61" t="s">
        <v>132</v>
      </c>
      <c r="M6" s="61" t="s">
        <v>134</v>
      </c>
      <c r="O6" s="65">
        <v>104</v>
      </c>
      <c r="P6" s="65" t="s">
        <v>154</v>
      </c>
      <c r="Q6" s="65" t="s">
        <v>143</v>
      </c>
      <c r="R6" s="65">
        <v>65000</v>
      </c>
      <c r="S6" s="45" t="str">
        <f>VLOOKUP(O6,[1]HLOOKUP!A5:C10,3,0)</f>
        <v>Chennai</v>
      </c>
      <c r="T6" s="66">
        <f>VLOOKUP(O6,[1]HLOOKUP!A5:C10,2,0)</f>
        <v>44096</v>
      </c>
    </row>
    <row r="7" spans="1:20" x14ac:dyDescent="0.25">
      <c r="A7" s="45">
        <v>70</v>
      </c>
      <c r="B7" s="45" t="s">
        <v>155</v>
      </c>
      <c r="G7" s="45">
        <v>5</v>
      </c>
      <c r="H7" s="45" t="s">
        <v>156</v>
      </c>
      <c r="I7" s="45" t="s">
        <v>157</v>
      </c>
      <c r="J7" s="45">
        <v>45000</v>
      </c>
      <c r="L7" s="45" t="s">
        <v>140</v>
      </c>
      <c r="M7" s="45">
        <f>VLOOKUP(L7,H2:J9,3,FALSE)</f>
        <v>30000</v>
      </c>
      <c r="O7" s="65">
        <v>105</v>
      </c>
      <c r="P7" s="65" t="s">
        <v>158</v>
      </c>
      <c r="Q7" s="65" t="s">
        <v>159</v>
      </c>
      <c r="R7" s="65">
        <v>62000</v>
      </c>
      <c r="S7" s="45" t="str">
        <f>VLOOKUP(O7,[1]HLOOKUP!A6:C11,3,0)</f>
        <v>Kolkata</v>
      </c>
      <c r="T7" s="66">
        <f>VLOOKUP(O7,[1]HLOOKUP!A6:C11,2,0)</f>
        <v>43414</v>
      </c>
    </row>
    <row r="8" spans="1:20" x14ac:dyDescent="0.25">
      <c r="D8" s="60" t="s">
        <v>130</v>
      </c>
      <c r="E8" s="64">
        <v>85</v>
      </c>
      <c r="G8" s="45">
        <v>6</v>
      </c>
      <c r="H8" s="45" t="s">
        <v>160</v>
      </c>
      <c r="I8" s="45" t="s">
        <v>161</v>
      </c>
      <c r="J8" s="45">
        <v>42000</v>
      </c>
      <c r="L8" s="45" t="s">
        <v>152</v>
      </c>
      <c r="M8" s="45">
        <f t="shared" ref="M8:M10" si="0">VLOOKUP(L8,H3:J10,3,FALSE)</f>
        <v>80000</v>
      </c>
    </row>
    <row r="9" spans="1:20" x14ac:dyDescent="0.25">
      <c r="D9" s="60" t="s">
        <v>131</v>
      </c>
      <c r="E9" s="64" t="str">
        <f>VLOOKUP(E8,A3:B7,2,TRUE)</f>
        <v>B</v>
      </c>
      <c r="G9" s="45">
        <v>7</v>
      </c>
      <c r="H9" s="45" t="s">
        <v>162</v>
      </c>
      <c r="I9" s="45" t="s">
        <v>163</v>
      </c>
      <c r="J9" s="45">
        <v>60000</v>
      </c>
      <c r="L9" s="45" t="s">
        <v>160</v>
      </c>
      <c r="M9" s="45">
        <f t="shared" si="0"/>
        <v>42000</v>
      </c>
    </row>
    <row r="10" spans="1:20" x14ac:dyDescent="0.25">
      <c r="L10" s="45" t="s">
        <v>162</v>
      </c>
      <c r="M10" s="45">
        <f t="shared" si="0"/>
        <v>60000</v>
      </c>
      <c r="O10" s="65">
        <v>102</v>
      </c>
      <c r="P10" s="65" t="s">
        <v>147</v>
      </c>
      <c r="Q10" s="65" t="s">
        <v>148</v>
      </c>
      <c r="R10" s="65">
        <v>55000</v>
      </c>
      <c r="S10" s="45" t="str">
        <f>VLOOKUP(O10,[1]HLOOKUP!$A$2:$C$7,3,0)</f>
        <v>Delhi</v>
      </c>
      <c r="T10" s="66"/>
    </row>
    <row r="11" spans="1:20" x14ac:dyDescent="0.25">
      <c r="O11" s="65">
        <v>104</v>
      </c>
      <c r="P11" s="65" t="s">
        <v>154</v>
      </c>
      <c r="Q11" s="65" t="s">
        <v>143</v>
      </c>
      <c r="R11" s="65">
        <v>65000</v>
      </c>
      <c r="S11" s="45" t="str">
        <f>VLOOKUP(O11,[1]HLOOKUP!$A$2:$C$7,3,0)</f>
        <v>Chennai</v>
      </c>
      <c r="T11" s="66"/>
    </row>
    <row r="12" spans="1:20" x14ac:dyDescent="0.25">
      <c r="O12" s="65">
        <v>101</v>
      </c>
      <c r="P12" s="65" t="s">
        <v>142</v>
      </c>
      <c r="Q12" s="65" t="s">
        <v>143</v>
      </c>
      <c r="R12" s="65">
        <v>60000</v>
      </c>
      <c r="S12" s="45" t="str">
        <f>VLOOKUP(O12,[1]HLOOKUP!$A$2:$C$7,3,0)</f>
        <v>Mumbai</v>
      </c>
      <c r="T12" s="6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Spreadsheet Basics</vt:lpstr>
      <vt:lpstr>Creating-Editing etc</vt:lpstr>
      <vt:lpstr>Funtion &amp; Formulas</vt:lpstr>
      <vt:lpstr>Color &amp; AutoFormats</vt:lpstr>
      <vt:lpstr>Charts &amp; Graphs</vt:lpstr>
      <vt:lpstr>Power function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Kamat</dc:creator>
  <cp:lastModifiedBy>Amit Kamat</cp:lastModifiedBy>
  <dcterms:created xsi:type="dcterms:W3CDTF">2026-03-13T11:57:05Z</dcterms:created>
  <dcterms:modified xsi:type="dcterms:W3CDTF">2026-03-20T16:27:15Z</dcterms:modified>
</cp:coreProperties>
</file>